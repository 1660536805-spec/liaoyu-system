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受访者" sheetId="1" state="visible" r:id="rId1"/>
    <sheet xmlns:r="http://schemas.openxmlformats.org/officeDocument/2006/relationships" name="② 需求问卷" sheetId="2" state="visible" r:id="rId2"/>
    <sheet xmlns:r="http://schemas.openxmlformats.org/officeDocument/2006/relationships" name="③ 任务与AB" sheetId="3" state="visible" r:id="rId3"/>
    <sheet xmlns:r="http://schemas.openxmlformats.org/officeDocument/2006/relationships" name="④ 体验问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color rgb="00FFFFFF"/>
      <sz val="10"/>
    </font>
    <font>
      <name val="等线"/>
      <sz val="10"/>
    </font>
    <font>
      <name val="等线"/>
      <b val="1"/>
      <color rgb="007A4A22"/>
      <sz val="10"/>
    </font>
    <font>
      <name val="等线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B0552E"/>
      </patternFill>
    </fill>
    <fill>
      <patternFill patternType="solid">
        <fgColor rgb="006E8F7C"/>
      </patternFill>
    </fill>
    <fill>
      <patternFill patternType="solid">
        <fgColor rgb="00EFE6D6"/>
      </patternFill>
    </fill>
  </fills>
  <borders count="2">
    <border>
      <left/>
      <right/>
      <top/>
      <bottom/>
      <diagonal/>
    </border>
    <border>
      <left style="thin">
        <color rgb="00B9A98C"/>
      </left>
      <right style="thin">
        <color rgb="00B9A98C"/>
      </right>
      <top style="thin">
        <color rgb="00B9A98C"/>
      </top>
      <bottom style="thin">
        <color rgb="00B9A98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4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name val="等线"/>
        <b val="1"/>
        <color rgb="002F6B4F"/>
        <sz val="10"/>
      </font>
      <fill>
        <patternFill patternType="solid">
          <fgColor rgb="00E4EFE7"/>
        </patternFill>
      </fill>
    </dxf>
    <dxf>
      <font>
        <name val="等线"/>
        <b val="1"/>
        <color rgb="00A8442A"/>
        <sz val="10"/>
      </font>
      <fill>
        <patternFill patternType="solid">
          <fgColor rgb="00F7E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1" customWidth="1" min="4" max="4"/>
    <col width="22" customWidth="1" min="5" max="5"/>
    <col width="22" customWidth="1" min="6" max="6"/>
    <col width="16" customWidth="1" min="7" max="7"/>
    <col width="18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34" customHeight="1">
      <c r="A1" s="1" t="inlineStr">
        <is>
          <t>编号</t>
        </is>
      </c>
      <c r="B1" s="1" t="inlineStr">
        <is>
          <t>姓名/称呼</t>
        </is>
      </c>
      <c r="C1" s="1" t="inlineStr">
        <is>
          <t>对应场景</t>
        </is>
      </c>
      <c r="D1" s="1" t="inlineStr">
        <is>
          <t>年龄段</t>
        </is>
      </c>
      <c r="E1" s="1" t="inlineStr">
        <is>
          <t>身份</t>
        </is>
      </c>
      <c r="F1" s="1" t="inlineStr">
        <is>
          <t>最常用练习场所</t>
        </is>
      </c>
      <c r="G1" s="1" t="inlineStr">
        <is>
          <t>使用设备</t>
        </is>
      </c>
      <c r="H1" s="1" t="inlineStr">
        <is>
          <t>家里/活动室网络</t>
        </is>
      </c>
      <c r="I1" s="1" t="inlineStr">
        <is>
          <t>A/B 顺序</t>
        </is>
      </c>
      <c r="J1" s="1" t="inlineStr">
        <is>
          <t>完成全部任务?</t>
        </is>
      </c>
      <c r="K1" s="1" t="inlineStr">
        <is>
          <t>测试日期</t>
        </is>
      </c>
      <c r="L1" s="1" t="inlineStr">
        <is>
          <t>备注</t>
        </is>
      </c>
    </row>
    <row r="2">
      <c r="A2" s="2" t="inlineStr">
        <is>
          <t>S1</t>
        </is>
      </c>
      <c r="B2" s="3" t="n"/>
      <c r="C2" s="2" t="inlineStr">
        <is>
          <t>主场景·居家自练</t>
        </is>
      </c>
      <c r="D2" s="2" t="inlineStr">
        <is>
          <t>60-69</t>
        </is>
      </c>
      <c r="E2" s="2" t="inlineStr">
        <is>
          <t>自己练</t>
        </is>
      </c>
      <c r="F2" s="2" t="inlineStr">
        <is>
          <t>家里</t>
        </is>
      </c>
      <c r="G2" s="3" t="n"/>
      <c r="H2" s="3" t="n"/>
      <c r="I2" s="2" t="inlineStr">
        <is>
          <t>A→B</t>
        </is>
      </c>
      <c r="J2" s="3" t="n"/>
      <c r="K2" s="3" t="n"/>
      <c r="L2" s="3" t="n"/>
    </row>
    <row r="3">
      <c r="A3" s="2" t="inlineStr">
        <is>
          <t>S2</t>
        </is>
      </c>
      <c r="B3" s="3" t="n"/>
      <c r="C3" s="2" t="inlineStr">
        <is>
          <t>主场景·居家自练</t>
        </is>
      </c>
      <c r="D3" s="2" t="inlineStr">
        <is>
          <t>70及以上</t>
        </is>
      </c>
      <c r="E3" s="2" t="inlineStr">
        <is>
          <t>自己练</t>
        </is>
      </c>
      <c r="F3" s="2" t="inlineStr">
        <is>
          <t>家里</t>
        </is>
      </c>
      <c r="G3" s="3" t="n"/>
      <c r="H3" s="3" t="n"/>
      <c r="I3" s="2" t="inlineStr">
        <is>
          <t>B→A</t>
        </is>
      </c>
      <c r="J3" s="3" t="n"/>
      <c r="K3" s="3" t="n"/>
      <c r="L3" s="3" t="n"/>
    </row>
    <row r="4">
      <c r="A4" s="2" t="inlineStr">
        <is>
          <t>S3</t>
        </is>
      </c>
      <c r="B4" s="3" t="n"/>
      <c r="C4" s="2" t="inlineStr">
        <is>
          <t>主场景·机构带练</t>
        </is>
      </c>
      <c r="D4" s="2" t="inlineStr">
        <is>
          <t>36-59</t>
        </is>
      </c>
      <c r="E4" s="2" t="inlineStr">
        <is>
          <t>社区/机构工作人员</t>
        </is>
      </c>
      <c r="F4" s="2" t="inlineStr">
        <is>
          <t>社区活动室/养老机构</t>
        </is>
      </c>
      <c r="G4" s="3" t="n"/>
      <c r="H4" s="3" t="n"/>
      <c r="I4" s="2" t="inlineStr">
        <is>
          <t>仅访谈</t>
        </is>
      </c>
      <c r="J4" s="3" t="n"/>
      <c r="K4" s="3" t="n"/>
      <c r="L4" s="3" t="n"/>
    </row>
    <row r="5">
      <c r="A5" s="2" t="inlineStr">
        <is>
          <t>S4</t>
        </is>
      </c>
      <c r="B5" s="3" t="n"/>
      <c r="C5" s="2" t="inlineStr">
        <is>
          <t>延展·校园职场</t>
        </is>
      </c>
      <c r="D5" s="2" t="inlineStr">
        <is>
          <t>18-25</t>
        </is>
      </c>
      <c r="E5" s="2" t="inlineStr">
        <is>
          <t>自己练</t>
        </is>
      </c>
      <c r="F5" s="2" t="inlineStr">
        <is>
          <t>单位/学校</t>
        </is>
      </c>
      <c r="G5" s="3" t="n"/>
      <c r="H5" s="3" t="n"/>
      <c r="I5" s="2" t="inlineStr">
        <is>
          <t>A→B</t>
        </is>
      </c>
      <c r="J5" s="3" t="n"/>
      <c r="K5" s="3" t="n"/>
      <c r="L5" s="3" t="n"/>
    </row>
    <row r="6">
      <c r="A6" s="2" t="inlineStr">
        <is>
          <t>S5</t>
        </is>
      </c>
      <c r="B6" s="3" t="n"/>
      <c r="C6" s="2" t="inlineStr">
        <is>
          <t>延展·校园职场</t>
        </is>
      </c>
      <c r="D6" s="2" t="inlineStr">
        <is>
          <t>26-35</t>
        </is>
      </c>
      <c r="E6" s="2" t="inlineStr">
        <is>
          <t>自己练</t>
        </is>
      </c>
      <c r="F6" s="2" t="inlineStr">
        <is>
          <t>单位/学校</t>
        </is>
      </c>
      <c r="G6" s="3" t="n"/>
      <c r="H6" s="3" t="n"/>
      <c r="I6" s="2" t="inlineStr">
        <is>
          <t>B→A</t>
        </is>
      </c>
      <c r="J6" s="3" t="n"/>
      <c r="K6" s="3" t="n"/>
      <c r="L6" s="3" t="n"/>
    </row>
    <row r="23">
      <c r="A23" s="4" t="inlineStr">
        <is>
          <t>· 填法：只需填白色单元格；蓝绿色表头下的灰底列是自动公式列，请勿手改。</t>
        </is>
      </c>
    </row>
    <row r="24">
      <c r="A24" s="4" t="inlineStr">
        <is>
          <t>· S3 为机构工作人员，只做访谈（不填 A/B 任务与问卷B 的 SUS）。</t>
        </is>
      </c>
    </row>
  </sheetData>
  <dataValidations count="8">
    <dataValidation sqref="C2:C20" showDropDown="0" showInputMessage="1" showErrorMessage="0" allowBlank="1" promptTitle="场景" prompt="请从下拉中选择" type="list">
      <formula1>"主场景·居家自练,主场景·机构带练,延展·校园职场"</formula1>
    </dataValidation>
    <dataValidation sqref="D2:D20" showDropDown="0" showInputMessage="1" showErrorMessage="0" allowBlank="1" promptTitle="年龄段" prompt="请从下拉中选择" type="list">
      <formula1>"18-25,26-35,36-59,60-69,70及以上"</formula1>
    </dataValidation>
    <dataValidation sqref="E2:E20" showDropDown="0" showInputMessage="1" showErrorMessage="0" allowBlank="1" promptTitle="身份" prompt="请从下拉中选择" type="list">
      <formula1>"自己练,家里有长辈练,社区/机构工作人员,其他"</formula1>
    </dataValidation>
    <dataValidation sqref="F2:F20" showDropDown="0" showInputMessage="1" showErrorMessage="0" allowBlank="1" promptTitle="场地" prompt="请从下拉中选择" type="list">
      <formula1>"家里,社区活动室/养老机构,单位/学校,户外"</formula1>
    </dataValidation>
    <dataValidation sqref="G2:G20" showDropDown="0" showInputMessage="1" showErrorMessage="0" allowBlank="1" promptTitle="设备" prompt="请从下拉中选择" type="list">
      <formula1>"手机,平板,电视/大屏,智能音箱"</formula1>
    </dataValidation>
    <dataValidation sqref="H2:H20" showDropDown="0" showInputMessage="1" showErrorMessage="0" allowBlank="1" promptTitle="网络" prompt="请从下拉中选择" type="list">
      <formula1>"一直稳定,有时会断,基本没有网络,不清楚"</formula1>
    </dataValidation>
    <dataValidation sqref="I2:I20" showDropDown="0" showInputMessage="1" showErrorMessage="0" allowBlank="1" promptTitle="A/B 顺序" prompt="请从下拉中选择" type="list">
      <formula1>"A→B,B→A,仅访谈"</formula1>
    </dataValidation>
    <dataValidation sqref="J2:J20" showDropDown="0" showInputMessage="1" showErrorMessage="0" allowBlank="1" promptTitle="是否完成" prompt="请从下拉中选择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6" customWidth="1" min="25" max="25"/>
    <col width="16" customWidth="1" min="26" max="26"/>
    <col width="34" customWidth="1" min="27" max="27"/>
    <col width="34" customWidth="1" min="28" max="28"/>
    <col width="30" customWidth="1" min="52" max="52"/>
  </cols>
  <sheetData>
    <row r="1" ht="34" customHeight="1">
      <c r="A1" s="1" t="inlineStr">
        <is>
          <t>编号</t>
        </is>
      </c>
      <c r="B1" s="1" t="inlineStr">
        <is>
          <t>Q1 年龄段</t>
        </is>
      </c>
      <c r="C1" s="1" t="inlineStr">
        <is>
          <t>Q2 身份</t>
        </is>
      </c>
      <c r="D1" s="1" t="inlineStr">
        <is>
          <t>Q3 场地</t>
        </is>
      </c>
      <c r="E1" s="1" t="inlineStr">
        <is>
          <t>Q4 频次</t>
        </is>
      </c>
      <c r="F1" s="1" t="inlineStr">
        <is>
          <t>Q5_不知对错</t>
        </is>
      </c>
      <c r="G1" s="1" t="inlineStr">
        <is>
          <t>Q5_无成就感</t>
        </is>
      </c>
      <c r="H1" s="1" t="inlineStr">
        <is>
          <t>Q5_枯燥放弃</t>
        </is>
      </c>
      <c r="I1" s="1" t="inlineStr">
        <is>
          <t>Q5_跟不上</t>
        </is>
      </c>
      <c r="J1" s="1" t="inlineStr">
        <is>
          <t>Q5_屏幕累</t>
        </is>
      </c>
      <c r="K1" s="1" t="inlineStr">
        <is>
          <t>Q5_找不到视频</t>
        </is>
      </c>
      <c r="L1" s="1" t="inlineStr">
        <is>
          <t>Q5_其他</t>
        </is>
      </c>
      <c r="M1" s="1" t="inlineStr">
        <is>
          <t>Q5 首选项★</t>
        </is>
      </c>
      <c r="N1" s="1" t="inlineStr">
        <is>
          <t>Q6 不知对错</t>
        </is>
      </c>
      <c r="O1" s="1" t="inlineStr">
        <is>
          <t>Q7 无成就感</t>
        </is>
      </c>
      <c r="P1" s="1" t="inlineStr">
        <is>
          <t>Q8 易放弃</t>
        </is>
      </c>
      <c r="Q1" s="1" t="inlineStr">
        <is>
          <t>Q9 琴声更有兴趣</t>
        </is>
      </c>
      <c r="R1" s="1" t="inlineStr">
        <is>
          <t>Q10 声音优于口令</t>
        </is>
      </c>
      <c r="S1" s="1" t="inlineStr">
        <is>
          <t>Q11 担心摄像头</t>
        </is>
      </c>
      <c r="T1" s="1" t="inlineStr">
        <is>
          <t>Q12 免注册意愿</t>
        </is>
      </c>
      <c r="U1" s="1" t="inlineStr">
        <is>
          <t>Q13 手机</t>
        </is>
      </c>
      <c r="V1" s="1" t="inlineStr">
        <is>
          <t>Q13 平板</t>
        </is>
      </c>
      <c r="W1" s="1" t="inlineStr">
        <is>
          <t>Q13 电视</t>
        </is>
      </c>
      <c r="X1" s="1" t="inlineStr">
        <is>
          <t>Q13 音箱</t>
        </is>
      </c>
      <c r="Y1" s="1" t="inlineStr">
        <is>
          <t>Q14 网络</t>
        </is>
      </c>
      <c r="Z1" s="1" t="inlineStr">
        <is>
          <t>Q15 付费</t>
        </is>
      </c>
      <c r="AA1" s="1" t="inlineStr">
        <is>
          <t>Q16 理想体验（原话）</t>
        </is>
      </c>
      <c r="AB1" s="1" t="inlineStr">
        <is>
          <t>Q17 古琴曲想法（原话）</t>
        </is>
      </c>
    </row>
    <row r="2">
      <c r="A2" s="2" t="inlineStr">
        <is>
          <t>S1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2" t="inlineStr">
        <is>
          <t>S2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A4" s="2" t="inlineStr">
        <is>
          <t>S3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s="2" t="inlineStr">
        <is>
          <t>S4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s="2" t="inlineStr">
        <is>
          <t>S5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23">
      <c r="A23" s="4" t="inlineStr">
        <is>
          <t>· 填法：只需填白色单元格；蓝绿色表头下的灰底列是自动公式列，请勿手改。</t>
        </is>
      </c>
    </row>
    <row r="24">
      <c r="A24" s="4" t="inlineStr">
        <is>
          <t>· S3 为机构工作人员，只做访谈（不填 A/B 任务与问卷B 的 SUS）。</t>
        </is>
      </c>
    </row>
  </sheetData>
  <dataValidations count="25">
    <dataValidation sqref="B2:B20" showDropDown="0" showInputMessage="0" showErrorMessage="0" allowBlank="1" type="list">
      <formula1>"18-25,26-35,36-59,60-69,70及以上"</formula1>
    </dataValidation>
    <dataValidation sqref="C2:C20" showDropDown="0" showInputMessage="0" showErrorMessage="0" allowBlank="1" type="list">
      <formula1>"自己练,家里有长辈练,社区/机构工作人员,其他"</formula1>
    </dataValidation>
    <dataValidation sqref="D2:D20" showDropDown="0" showInputMessage="0" showErrorMessage="0" allowBlank="1" type="list">
      <formula1>"家里,社区活动室/养老机构,单位/学校,户外"</formula1>
    </dataValidation>
    <dataValidation sqref="E2:E20" showDropDown="0" showInputMessage="0" showErrorMessage="0" allowBlank="1" type="list">
      <formula1>"没练过,1-5次,6-15次,16次以上"</formula1>
    </dataValidation>
    <dataValidation sqref="F2:F20" showDropDown="0" showInputMessage="0" showErrorMessage="0" allowBlank="1" type="list">
      <formula1>"1,0"</formula1>
    </dataValidation>
    <dataValidation sqref="G2:G20" showDropDown="0" showInputMessage="0" showErrorMessage="0" allowBlank="1" type="list">
      <formula1>"1,0"</formula1>
    </dataValidation>
    <dataValidation sqref="H2:H20" showDropDown="0" showInputMessage="0" showErrorMessage="0" allowBlank="1" type="list">
      <formula1>"1,0"</formula1>
    </dataValidation>
    <dataValidation sqref="I2:I20" showDropDown="0" showInputMessage="0" showErrorMessage="0" allowBlank="1" type="list">
      <formula1>"1,0"</formula1>
    </dataValidation>
    <dataValidation sqref="J2:J20" showDropDown="0" showInputMessage="0" showErrorMessage="0" allowBlank="1" type="list">
      <formula1>"1,0"</formula1>
    </dataValidation>
    <dataValidation sqref="K2:K20" showDropDown="0" showInputMessage="0" showErrorMessage="0" allowBlank="1" type="list">
      <formula1>"1,0"</formula1>
    </dataValidation>
    <dataValidation sqref="L2:L20" showDropDown="0" showInputMessage="0" showErrorMessage="0" allowBlank="1" type="list">
      <formula1>"1,0"</formula1>
    </dataValidation>
    <dataValidation sqref="M2:M20" showDropDown="0" showInputMessage="1" showErrorMessage="0" allowBlank="1" promptTitle="Q5 最困扰的一项" prompt="请从下拉中选择" type="list">
      <formula1>"不知对错,无成就感,枯燥放弃,跟不上,屏幕累,找不到视频,其他"</formula1>
    </dataValidation>
    <dataValidation sqref="N2:N20" showDropDown="0" showInputMessage="0" showErrorMessage="0" allowBlank="1" errorTitle="取值范围" error="只能填 1–5" type="whole" operator="between">
      <formula1>1</formula1>
      <formula2>5</formula2>
    </dataValidation>
    <dataValidation sqref="O2:O20" showDropDown="0" showInputMessage="0" showErrorMessage="0" allowBlank="1" errorTitle="取值范围" error="只能填 1–5" type="whole" operator="between">
      <formula1>1</formula1>
      <formula2>5</formula2>
    </dataValidation>
    <dataValidation sqref="P2:P20" showDropDown="0" showInputMessage="0" showErrorMessage="0" allowBlank="1" errorTitle="取值范围" error="只能填 1–5" type="whole" operator="between">
      <formula1>1</formula1>
      <formula2>5</formula2>
    </dataValidation>
    <dataValidation sqref="Q2:Q20" showDropDown="0" showInputMessage="0" showErrorMessage="0" allowBlank="1" errorTitle="取值范围" error="只能填 1–5" type="whole" operator="between">
      <formula1>1</formula1>
      <formula2>5</formula2>
    </dataValidation>
    <dataValidation sqref="R2:R20" showDropDown="0" showInputMessage="0" showErrorMessage="0" allowBlank="1" errorTitle="取值范围" error="只能填 1–5" type="whole" operator="between">
      <formula1>1</formula1>
      <formula2>5</formula2>
    </dataValidation>
    <dataValidation sqref="S2:S20" showDropDown="0" showInputMessage="0" showErrorMessage="0" allowBlank="1" errorTitle="取值范围" error="只能填 1–5" type="whole" operator="between">
      <formula1>1</formula1>
      <formula2>5</formula2>
    </dataValidation>
    <dataValidation sqref="T2:T20" showDropDown="0" showInputMessage="0" showErrorMessage="0" allowBlank="1" errorTitle="取值范围" error="只能填 1–5" type="whole" operator="between">
      <formula1>1</formula1>
      <formula2>5</formula2>
    </dataValidation>
    <dataValidation sqref="U2:U20" showDropDown="0" showInputMessage="0" showErrorMessage="0" allowBlank="1" type="list">
      <formula1>"1,0"</formula1>
    </dataValidation>
    <dataValidation sqref="V2:V20" showDropDown="0" showInputMessage="0" showErrorMessage="0" allowBlank="1" type="list">
      <formula1>"1,0"</formula1>
    </dataValidation>
    <dataValidation sqref="W2:W20" showDropDown="0" showInputMessage="0" showErrorMessage="0" allowBlank="1" type="list">
      <formula1>"1,0"</formula1>
    </dataValidation>
    <dataValidation sqref="X2:X20" showDropDown="0" showInputMessage="0" showErrorMessage="0" allowBlank="1" type="list">
      <formula1>"1,0"</formula1>
    </dataValidation>
    <dataValidation sqref="Y2:Y20" showDropDown="0" showInputMessage="0" showErrorMessage="0" allowBlank="1" type="list">
      <formula1>"一直稳定,有时会断,基本没有网络,不清楚"</formula1>
    </dataValidation>
    <dataValidation sqref="Z2:Z20" showDropDown="0" showInputMessage="0" showErrorMessage="0" allowBlank="1" type="list">
      <formula1>"完全免费（看广告）,一次性买断,按月订阅,由社区/机构统一购买,不愿意付费"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style="5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  <col width="14" customWidth="1" min="15" max="15"/>
    <col width="14" customWidth="1" min="16" max="16"/>
    <col width="12" customWidth="1" style="5" min="17" max="17"/>
    <col width="34" customWidth="1" min="18" max="18"/>
  </cols>
  <sheetData>
    <row r="1" ht="34" customHeight="1">
      <c r="A1" s="1" t="inlineStr">
        <is>
          <t>编号</t>
        </is>
      </c>
      <c r="B1" s="1" t="inlineStr">
        <is>
          <t>T1 开摄像头</t>
        </is>
      </c>
      <c r="C1" s="1" t="inlineStr">
        <is>
          <t>T2 找入口选式</t>
        </is>
      </c>
      <c r="D1" s="1" t="inlineStr">
        <is>
          <t>T3 双手托天TTFS</t>
        </is>
      </c>
      <c r="E1" s="1" t="inlineStr">
        <is>
          <t>T4 第2-3式</t>
        </is>
      </c>
      <c r="F1" s="1" t="inlineStr">
        <is>
          <t>T5 看练习记录</t>
        </is>
      </c>
      <c r="G1" s="6" t="inlineStr">
        <is>
          <t>完成任务数</t>
        </is>
      </c>
      <c r="H1" s="1" t="inlineStr">
        <is>
          <t>TTFS(秒)</t>
        </is>
      </c>
      <c r="I1" s="1" t="inlineStr">
        <is>
          <t>A静音 时长(秒)</t>
        </is>
      </c>
      <c r="J1" s="1" t="inlineStr">
        <is>
          <t>B弦养 时长(秒)</t>
        </is>
      </c>
      <c r="K1" s="1" t="inlineStr">
        <is>
          <t>A 主动重做次数</t>
        </is>
      </c>
      <c r="L1" s="1" t="inlineStr">
        <is>
          <t>B 主动重做次数</t>
        </is>
      </c>
      <c r="M1" s="1" t="inlineStr">
        <is>
          <t>A 看屏次数</t>
        </is>
      </c>
      <c r="N1" s="1" t="inlineStr">
        <is>
          <t>B 看屏次数</t>
        </is>
      </c>
      <c r="O1" s="1" t="inlineStr">
        <is>
          <t>A 想再做一遍(1-5)</t>
        </is>
      </c>
      <c r="P1" s="1" t="inlineStr">
        <is>
          <t>B 想再做一遍(1-5)</t>
        </is>
      </c>
      <c r="Q1" s="6" t="inlineStr">
        <is>
          <t>配对差值 Δ</t>
        </is>
      </c>
      <c r="R1" s="1" t="inlineStr">
        <is>
          <t>主持人观察（写动作不写结论）</t>
        </is>
      </c>
    </row>
    <row r="2">
      <c r="A2" s="2" t="inlineStr">
        <is>
          <t>S1</t>
        </is>
      </c>
      <c r="B2" s="3" t="n"/>
      <c r="C2" s="3" t="n"/>
      <c r="D2" s="3" t="n"/>
      <c r="E2" s="3" t="n"/>
      <c r="F2" s="3" t="n"/>
      <c r="G2" s="7">
        <f>IF(COUNTIF(B2:F2,"独立完成")=0,"",COUNTIF(B2:F2,"独立完成"))</f>
        <v/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7">
        <f>IF(OR(O2="",P2=""),"",P2-O2)</f>
        <v/>
      </c>
      <c r="R2" s="3" t="n"/>
    </row>
    <row r="3">
      <c r="A3" s="2" t="inlineStr">
        <is>
          <t>S2</t>
        </is>
      </c>
      <c r="B3" s="3" t="n"/>
      <c r="C3" s="3" t="n"/>
      <c r="D3" s="3" t="n"/>
      <c r="E3" s="3" t="n"/>
      <c r="F3" s="3" t="n"/>
      <c r="G3" s="7">
        <f>IF(COUNTIF(B3:F3,"独立完成")=0,"",COUNTIF(B3:F3,"独立完成"))</f>
        <v/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7">
        <f>IF(OR(O3="",P3=""),"",P3-O3)</f>
        <v/>
      </c>
      <c r="R3" s="3" t="n"/>
    </row>
    <row r="4">
      <c r="A4" s="2" t="inlineStr">
        <is>
          <t>S3</t>
        </is>
      </c>
      <c r="B4" s="3" t="n"/>
      <c r="C4" s="3" t="n"/>
      <c r="D4" s="3" t="n"/>
      <c r="E4" s="3" t="n"/>
      <c r="F4" s="3" t="n"/>
      <c r="G4" s="7">
        <f>IF(COUNTIF(B4:F4,"独立完成")=0,"",COUNTIF(B4:F4,"独立完成"))</f>
        <v/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7">
        <f>IF(OR(O4="",P4=""),"",P4-O4)</f>
        <v/>
      </c>
      <c r="R4" s="3" t="n"/>
    </row>
    <row r="5">
      <c r="A5" s="2" t="inlineStr">
        <is>
          <t>S4</t>
        </is>
      </c>
      <c r="B5" s="3" t="n"/>
      <c r="C5" s="3" t="n"/>
      <c r="D5" s="3" t="n"/>
      <c r="E5" s="3" t="n"/>
      <c r="F5" s="3" t="n"/>
      <c r="G5" s="7">
        <f>IF(COUNTIF(B5:F5,"独立完成")=0,"",COUNTIF(B5:F5,"独立完成"))</f>
        <v/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7">
        <f>IF(OR(O5="",P5=""),"",P5-O5)</f>
        <v/>
      </c>
      <c r="R5" s="3" t="n"/>
    </row>
    <row r="6">
      <c r="A6" s="2" t="inlineStr">
        <is>
          <t>S5</t>
        </is>
      </c>
      <c r="B6" s="3" t="n"/>
      <c r="C6" s="3" t="n"/>
      <c r="D6" s="3" t="n"/>
      <c r="E6" s="3" t="n"/>
      <c r="F6" s="3" t="n"/>
      <c r="G6" s="7">
        <f>IF(COUNTIF(B6:F6,"独立完成")=0,"",COUNTIF(B6:F6,"独立完成"))</f>
        <v/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7">
        <f>IF(OR(O6="",P6=""),"",P6-O6)</f>
        <v/>
      </c>
      <c r="R6" s="3" t="n"/>
    </row>
    <row r="23">
      <c r="A23" s="4" t="inlineStr">
        <is>
          <t>· 填法：只需填白色单元格；蓝绿色表头下的灰底列是自动公式列，请勿手改。</t>
        </is>
      </c>
    </row>
    <row r="24">
      <c r="A24" s="4" t="inlineStr">
        <is>
          <t>· S3 为机构工作人员，只做访谈（不填 A/B 任务与问卷B 的 SUS）。</t>
        </is>
      </c>
    </row>
  </sheetData>
  <conditionalFormatting sqref="Q2:Q20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9">
    <dataValidation sqref="B2:B20" showDropDown="0" showInputMessage="0" showErrorMessage="0" allowBlank="1" type="list">
      <formula1>"独立完成,需协助,未完成"</formula1>
    </dataValidation>
    <dataValidation sqref="B2:B20" showDropDown="0" showInputMessage="0" showErrorMessage="0" allowBlank="1" errorTitle="取值范围" error="只能填 3–5" type="whole" operator="between">
      <formula1>3</formula1>
      <formula2>5</formula2>
    </dataValidation>
    <dataValidation sqref="C2:C20" showDropDown="0" showInputMessage="0" showErrorMessage="0" allowBlank="1" type="list">
      <formula1>"独立完成,需协助,未完成"</formula1>
    </dataValidation>
    <dataValidation sqref="C2:C20" showDropDown="0" showInputMessage="0" showErrorMessage="0" allowBlank="1" errorTitle="取值范围" error="只能填 3–5" type="whole" operator="between">
      <formula1>3</formula1>
      <formula2>5</formula2>
    </dataValidation>
    <dataValidation sqref="D2:D20" showDropDown="0" showInputMessage="0" showErrorMessage="0" allowBlank="1" type="list">
      <formula1>"独立完成,需协助,未完成"</formula1>
    </dataValidation>
    <dataValidation sqref="D2:D20" showDropDown="0" showInputMessage="0" showErrorMessage="0" allowBlank="1" errorTitle="取值范围" error="只能填 3–5" type="whole" operator="between">
      <formula1>3</formula1>
      <formula2>5</formula2>
    </dataValidation>
    <dataValidation sqref="E2:E20" showDropDown="0" showInputMessage="0" showErrorMessage="0" allowBlank="1" type="list">
      <formula1>"独立完成,需协助,未完成"</formula1>
    </dataValidation>
    <dataValidation sqref="E2:E20" showDropDown="0" showInputMessage="0" showErrorMessage="0" allowBlank="1" errorTitle="取值范围" error="只能填 3–5" type="whole" operator="between">
      <formula1>3</formula1>
      <formula2>5</formula2>
    </dataValidation>
    <dataValidation sqref="F2:F20" showDropDown="0" showInputMessage="0" showErrorMessage="0" allowBlank="1" type="list">
      <formula1>"独立完成,需协助,未完成"</formula1>
    </dataValidation>
    <dataValidation sqref="F2:F20" showDropDown="0" showInputMessage="0" showErrorMessage="0" allowBlank="1" errorTitle="取值范围" error="只能填 3–5" type="whole" operator="between">
      <formula1>3</formula1>
      <formula2>5</formula2>
    </dataValidation>
    <dataValidation sqref="H2:H20" showDropDown="0" showInputMessage="0" showErrorMessage="0" allowBlank="1" errorTitle="取值范围" error="只能填 0–600" type="whole" operator="between">
      <formula1>0</formula1>
      <formula2>600</formula2>
    </dataValidation>
    <dataValidation sqref="I2:I20" showDropDown="0" showInputMessage="0" showErrorMessage="0" allowBlank="1" errorTitle="取值范围" error="只能填 0–600" type="whole" operator="between">
      <formula1>0</formula1>
      <formula2>600</formula2>
    </dataValidation>
    <dataValidation sqref="J2:J20" showDropDown="0" showInputMessage="0" showErrorMessage="0" allowBlank="1" errorTitle="取值范围" error="只能填 0–600" type="whole" operator="between">
      <formula1>0</formula1>
      <formula2>600</formula2>
    </dataValidation>
    <dataValidation sqref="K2:K20" showDropDown="0" showInputMessage="0" showErrorMessage="0" allowBlank="1" errorTitle="取值范围" error="只能填 0–30" type="whole" operator="between">
      <formula1>0</formula1>
      <formula2>30</formula2>
    </dataValidation>
    <dataValidation sqref="L2:L20" showDropDown="0" showInputMessage="0" showErrorMessage="0" allowBlank="1" errorTitle="取值范围" error="只能填 0–30" type="whole" operator="between">
      <formula1>0</formula1>
      <formula2>30</formula2>
    </dataValidation>
    <dataValidation sqref="M2:M20" showDropDown="0" showInputMessage="0" showErrorMessage="0" allowBlank="1" errorTitle="取值范围" error="只能填 0–30" type="whole" operator="between">
      <formula1>0</formula1>
      <formula2>30</formula2>
    </dataValidation>
    <dataValidation sqref="N2:N20" showDropDown="0" showInputMessage="0" showErrorMessage="0" allowBlank="1" errorTitle="取值范围" error="只能填 0–30" type="whole" operator="between">
      <formula1>0</formula1>
      <formula2>30</formula2>
    </dataValidation>
    <dataValidation sqref="O2:O20" showDropDown="0" showInputMessage="0" showErrorMessage="0" allowBlank="1" errorTitle="取值范围" error="只能填 1–5" type="whole" operator="between">
      <formula1>1</formula1>
      <formula2>5</formula2>
    </dataValidation>
    <dataValidation sqref="P2:P20" showDropDown="0" showInputMessage="0" showErrorMessage="0" allowBlank="1" errorTitle="取值范围" error="只能填 1–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style="5" min="12" max="12"/>
    <col width="15" customWidth="1" min="13" max="13"/>
    <col width="15" customWidth="1" min="14" max="14"/>
    <col width="12" customWidth="1" style="5" min="15" max="15"/>
    <col width="14" customWidth="1" min="16" max="16"/>
    <col width="12" customWidth="1" min="17" max="17"/>
    <col width="11" customWidth="1" min="18" max="18"/>
    <col width="12" customWidth="1" style="5" min="19" max="19"/>
    <col width="24" customWidth="1" min="20" max="20"/>
    <col width="12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 ht="34" customHeight="1">
      <c r="A1" s="1" t="inlineStr">
        <is>
          <t>编号</t>
        </is>
      </c>
      <c r="B1" s="1" t="inlineStr">
        <is>
          <t>SUS1</t>
        </is>
      </c>
      <c r="C1" s="1" t="inlineStr">
        <is>
          <t>SUS2</t>
        </is>
      </c>
      <c r="D1" s="1" t="inlineStr">
        <is>
          <t>SUS3</t>
        </is>
      </c>
      <c r="E1" s="1" t="inlineStr">
        <is>
          <t>SUS4</t>
        </is>
      </c>
      <c r="F1" s="1" t="inlineStr">
        <is>
          <t>SUS5</t>
        </is>
      </c>
      <c r="G1" s="1" t="inlineStr">
        <is>
          <t>SUS6</t>
        </is>
      </c>
      <c r="H1" s="1" t="inlineStr">
        <is>
          <t>SUS7</t>
        </is>
      </c>
      <c r="I1" s="1" t="inlineStr">
        <is>
          <t>SUS8</t>
        </is>
      </c>
      <c r="J1" s="1" t="inlineStr">
        <is>
          <t>SUS9</t>
        </is>
      </c>
      <c r="K1" s="1" t="inlineStr">
        <is>
          <t>SUS10</t>
        </is>
      </c>
      <c r="L1" s="6" t="inlineStr">
        <is>
          <t>SUS 分</t>
        </is>
      </c>
      <c r="M1" s="1" t="inlineStr">
        <is>
          <t>B1 有琴声更想做完</t>
        </is>
      </c>
      <c r="N1" s="1" t="inlineStr">
        <is>
          <t>B2 没声音更想做完</t>
        </is>
      </c>
      <c r="O1" s="6" t="inlineStr">
        <is>
          <t>Δ主观 B1-B2</t>
        </is>
      </c>
      <c r="P1" s="1" t="inlineStr">
        <is>
          <t>B3 立刻明白对了</t>
        </is>
      </c>
      <c r="Q1" s="1" t="inlineStr">
        <is>
          <t>B4 完成感</t>
        </is>
      </c>
      <c r="R1" s="1" t="inlineStr">
        <is>
          <t>B5 NPS(0-10)</t>
        </is>
      </c>
      <c r="S1" s="6" t="inlineStr">
        <is>
          <t>NPS 类别</t>
        </is>
      </c>
      <c r="T1" s="1" t="inlineStr">
        <is>
          <t>B6 卡在哪一步</t>
        </is>
      </c>
      <c r="U1" s="1" t="inlineStr">
        <is>
          <t>B7 一个词</t>
        </is>
      </c>
      <c r="V1" s="1" t="inlineStr">
        <is>
          <t>B7 为什么</t>
        </is>
      </c>
      <c r="W1" s="1" t="inlineStr">
        <is>
          <t>B8 觉得不对的一刻</t>
        </is>
      </c>
      <c r="X1" s="1" t="inlineStr">
        <is>
          <t>B9 还差什么</t>
        </is>
      </c>
      <c r="Y1" s="1" t="inlineStr">
        <is>
          <t>B10 补充</t>
        </is>
      </c>
    </row>
    <row r="2">
      <c r="A2" s="2" t="inlineStr">
        <is>
          <t>S1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7">
        <f>IF(COUNT(B2:K2)&lt;10,"",((B2-1)+(5-C2)+(D2-1)+(5-E2)+(F2-1)+(5-G2)+(H2-1)+(5-I2)+(J2-1)+(5-K2))*2.5)</f>
        <v/>
      </c>
      <c r="M2" s="3" t="n"/>
      <c r="N2" s="3" t="n"/>
      <c r="O2" s="7">
        <f>IF(OR(M2="",N2=""),"",M2-N2)</f>
        <v/>
      </c>
      <c r="P2" s="3" t="n"/>
      <c r="Q2" s="3" t="n"/>
      <c r="R2" s="3" t="n"/>
      <c r="S2" s="7">
        <f>IF(R2="","",IF(R2&gt;=9,"推荐者",IF(R2&gt;=7,"中立","贬损者")))</f>
        <v/>
      </c>
      <c r="T2" s="3" t="n"/>
      <c r="U2" s="3" t="n"/>
      <c r="V2" s="3" t="n"/>
      <c r="W2" s="3" t="n"/>
      <c r="X2" s="3" t="n"/>
      <c r="Y2" s="3" t="n"/>
    </row>
    <row r="3">
      <c r="A3" s="2" t="inlineStr">
        <is>
          <t>S2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7">
        <f>IF(COUNT(B3:K3)&lt;10,"",((B3-1)+(5-C3)+(D3-1)+(5-E3)+(F3-1)+(5-G3)+(H3-1)+(5-I3)+(J3-1)+(5-K3))*2.5)</f>
        <v/>
      </c>
      <c r="M3" s="3" t="n"/>
      <c r="N3" s="3" t="n"/>
      <c r="O3" s="7">
        <f>IF(OR(M3="",N3=""),"",M3-N3)</f>
        <v/>
      </c>
      <c r="P3" s="3" t="n"/>
      <c r="Q3" s="3" t="n"/>
      <c r="R3" s="3" t="n"/>
      <c r="S3" s="7">
        <f>IF(R3="","",IF(R3&gt;=9,"推荐者",IF(R3&gt;=7,"中立","贬损者")))</f>
        <v/>
      </c>
      <c r="T3" s="3" t="n"/>
      <c r="U3" s="3" t="n"/>
      <c r="V3" s="3" t="n"/>
      <c r="W3" s="3" t="n"/>
      <c r="X3" s="3" t="n"/>
      <c r="Y3" s="3" t="n"/>
    </row>
    <row r="4">
      <c r="A4" s="2" t="inlineStr">
        <is>
          <t>S3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7">
        <f>IF(COUNT(B4:K4)&lt;10,"",((B4-1)+(5-C4)+(D4-1)+(5-E4)+(F4-1)+(5-G4)+(H4-1)+(5-I4)+(J4-1)+(5-K4))*2.5)</f>
        <v/>
      </c>
      <c r="M4" s="3" t="n"/>
      <c r="N4" s="3" t="n"/>
      <c r="O4" s="7">
        <f>IF(OR(M4="",N4=""),"",M4-N4)</f>
        <v/>
      </c>
      <c r="P4" s="3" t="n"/>
      <c r="Q4" s="3" t="n"/>
      <c r="R4" s="3" t="n"/>
      <c r="S4" s="7">
        <f>IF(R4="","",IF(R4&gt;=9,"推荐者",IF(R4&gt;=7,"中立","贬损者")))</f>
        <v/>
      </c>
      <c r="T4" s="3" t="n"/>
      <c r="U4" s="3" t="n"/>
      <c r="V4" s="3" t="n"/>
      <c r="W4" s="3" t="n"/>
      <c r="X4" s="3" t="n"/>
      <c r="Y4" s="3" t="n"/>
    </row>
    <row r="5">
      <c r="A5" s="2" t="inlineStr">
        <is>
          <t>S4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7">
        <f>IF(COUNT(B5:K5)&lt;10,"",((B5-1)+(5-C5)+(D5-1)+(5-E5)+(F5-1)+(5-G5)+(H5-1)+(5-I5)+(J5-1)+(5-K5))*2.5)</f>
        <v/>
      </c>
      <c r="M5" s="3" t="n"/>
      <c r="N5" s="3" t="n"/>
      <c r="O5" s="7">
        <f>IF(OR(M5="",N5=""),"",M5-N5)</f>
        <v/>
      </c>
      <c r="P5" s="3" t="n"/>
      <c r="Q5" s="3" t="n"/>
      <c r="R5" s="3" t="n"/>
      <c r="S5" s="7">
        <f>IF(R5="","",IF(R5&gt;=9,"推荐者",IF(R5&gt;=7,"中立","贬损者")))</f>
        <v/>
      </c>
      <c r="T5" s="3" t="n"/>
      <c r="U5" s="3" t="n"/>
      <c r="V5" s="3" t="n"/>
      <c r="W5" s="3" t="n"/>
      <c r="X5" s="3" t="n"/>
      <c r="Y5" s="3" t="n"/>
    </row>
    <row r="6">
      <c r="A6" s="2" t="inlineStr">
        <is>
          <t>S5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7">
        <f>IF(COUNT(B6:K6)&lt;10,"",((B6-1)+(5-C6)+(D6-1)+(5-E6)+(F6-1)+(5-G6)+(H6-1)+(5-I6)+(J6-1)+(5-K6))*2.5)</f>
        <v/>
      </c>
      <c r="M6" s="3" t="n"/>
      <c r="N6" s="3" t="n"/>
      <c r="O6" s="7">
        <f>IF(OR(M6="",N6=""),"",M6-N6)</f>
        <v/>
      </c>
      <c r="P6" s="3" t="n"/>
      <c r="Q6" s="3" t="n"/>
      <c r="R6" s="3" t="n"/>
      <c r="S6" s="7">
        <f>IF(R6="","",IF(R6&gt;=9,"推荐者",IF(R6&gt;=7,"中立","贬损者")))</f>
        <v/>
      </c>
      <c r="T6" s="3" t="n"/>
      <c r="U6" s="3" t="n"/>
      <c r="V6" s="3" t="n"/>
      <c r="W6" s="3" t="n"/>
      <c r="X6" s="3" t="n"/>
      <c r="Y6" s="3" t="n"/>
    </row>
    <row r="23">
      <c r="A23" s="4" t="inlineStr">
        <is>
          <t>· 填法：只需填白色单元格；蓝绿色表头下的灰底列是自动公式列，请勿手改。</t>
        </is>
      </c>
    </row>
    <row r="24">
      <c r="A24" s="4" t="inlineStr">
        <is>
          <t>· S3 为机构工作人员，只做访谈（不填 A/B 任务与问卷B 的 SUS）。</t>
        </is>
      </c>
    </row>
  </sheetData>
  <conditionalFormatting sqref="L2:L20">
    <cfRule type="cellIs" priority="1" operator="greaterThanOrEqual" dxfId="0">
      <formula>68</formula>
    </cfRule>
    <cfRule type="cellIs" priority="2" operator="lessThan" dxfId="1">
      <formula>68</formula>
    </cfRule>
  </conditionalFormatting>
  <dataValidations count="16">
    <dataValidation sqref="B2:B20" showDropDown="0" showInputMessage="0" showErrorMessage="0" allowBlank="1" errorTitle="取值范围" error="只能填 1–5" type="whole" operator="between">
      <formula1>1</formula1>
      <formula2>5</formula2>
    </dataValidation>
    <dataValidation sqref="C2:C20" showDropDown="0" showInputMessage="0" showErrorMessage="0" allowBlank="1" errorTitle="取值范围" error="只能填 1–5" type="whole" operator="between">
      <formula1>1</formula1>
      <formula2>5</formula2>
    </dataValidation>
    <dataValidation sqref="D2:D20" showDropDown="0" showInputMessage="0" showErrorMessage="0" allowBlank="1" errorTitle="取值范围" error="只能填 1–5" type="whole" operator="between">
      <formula1>1</formula1>
      <formula2>5</formula2>
    </dataValidation>
    <dataValidation sqref="E2:E20" showDropDown="0" showInputMessage="0" showErrorMessage="0" allowBlank="1" errorTitle="取值范围" error="只能填 1–5" type="whole" operator="between">
      <formula1>1</formula1>
      <formula2>5</formula2>
    </dataValidation>
    <dataValidation sqref="F2:F20" showDropDown="0" showInputMessage="0" showErrorMessage="0" allowBlank="1" errorTitle="取值范围" error="只能填 1–5" type="whole" operator="between">
      <formula1>1</formula1>
      <formula2>5</formula2>
    </dataValidation>
    <dataValidation sqref="G2:G20" showDropDown="0" showInputMessage="0" showErrorMessage="0" allowBlank="1" errorTitle="取值范围" error="只能填 1–5" type="whole" operator="between">
      <formula1>1</formula1>
      <formula2>5</formula2>
    </dataValidation>
    <dataValidation sqref="H2:H20" showDropDown="0" showInputMessage="0" showErrorMessage="0" allowBlank="1" errorTitle="取值范围" error="只能填 1–5" type="whole" operator="between">
      <formula1>1</formula1>
      <formula2>5</formula2>
    </dataValidation>
    <dataValidation sqref="I2:I20" showDropDown="0" showInputMessage="0" showErrorMessage="0" allowBlank="1" errorTitle="取值范围" error="只能填 1–5" type="whole" operator="between">
      <formula1>1</formula1>
      <formula2>5</formula2>
    </dataValidation>
    <dataValidation sqref="J2:J20" showDropDown="0" showInputMessage="0" showErrorMessage="0" allowBlank="1" errorTitle="取值范围" error="只能填 1–5" type="whole" operator="between">
      <formula1>1</formula1>
      <formula2>5</formula2>
    </dataValidation>
    <dataValidation sqref="K2:K20" showDropDown="0" showInputMessage="0" showErrorMessage="0" allowBlank="1" errorTitle="取值范围" error="只能填 1–5" type="whole" operator="between">
      <formula1>1</formula1>
      <formula2>5</formula2>
    </dataValidation>
    <dataValidation sqref="M2:M20" showDropDown="0" showInputMessage="0" showErrorMessage="0" allowBlank="1" errorTitle="取值范围" error="只能填 1–5" type="whole" operator="between">
      <formula1>1</formula1>
      <formula2>5</formula2>
    </dataValidation>
    <dataValidation sqref="N2:N20" showDropDown="0" showInputMessage="0" showErrorMessage="0" allowBlank="1" errorTitle="取值范围" error="只能填 1–5" type="whole" operator="between">
      <formula1>1</formula1>
      <formula2>5</formula2>
    </dataValidation>
    <dataValidation sqref="O2:O20" showDropDown="0" showInputMessage="0" showErrorMessage="0" allowBlank="1" errorTitle="取值范围" error="只能填 1–5" type="whole" operator="between">
      <formula1>1</formula1>
      <formula2>5</formula2>
    </dataValidation>
    <dataValidation sqref="P2:P20" showDropDown="0" showInputMessage="0" showErrorMessage="0" allowBlank="1" errorTitle="取值范围" error="只能填 1–5" type="whole" operator="between">
      <formula1>1</formula1>
      <formula2>5</formula2>
    </dataValidation>
    <dataValidation sqref="Q2:Q20" showDropDown="0" showInputMessage="0" showErrorMessage="0" allowBlank="1" errorTitle="取值范围" error="只能填 1–5" type="whole" operator="between">
      <formula1>1</formula1>
      <formula2>5</formula2>
    </dataValidation>
    <dataValidation sqref="R2:R20" showDropDown="0" showInputMessage="0" showErrorMessage="0" allowBlank="1" errorTitle="取值范围" error="只能填 0–10" type="whole" operator="between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2026-10-10T09:17:24Z</dcterms:created>
  <dcterms:modified xmlns:dcterms="http://purl.org/dc/terms/" xmlns:xsi="http://www.w3.org/2001/XMLSchema-instance" xsi:type="dcterms:W3CDTF">2026-10-10T09:17:24Z</dcterms:modified>
</cp:coreProperties>
</file>